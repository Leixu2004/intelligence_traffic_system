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3830fa63f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概览" sheetId="1" r:id="R0cd38d7d91994624"/>
    <x:sheet xmlns:r="http://schemas.openxmlformats.org/officeDocument/2006/relationships" name="指标明细" sheetId="2" r:id="R4ecce1096080446e"/>
    <x:sheet xmlns:r="http://schemas.openxmlformats.org/officeDocument/2006/relationships" name="环境与边界" sheetId="3" r:id="R91618217fed5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1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1"/>
      <x:color rgb="FF1F1F1F"/>
      <x:name val="Arial"/>
    </x:font>
    <x:font>
      <x:b/>
      <x:sz val="15"/>
      <x:color rgb="FF1F1F1F"/>
      <x:name val="Arial"/>
    </x:font>
    <x:font>
      <x:b/>
      <x:sz val="9"/>
      <x:color rgb="FFFFFFFF"/>
      <x:name val="Arial"/>
    </x:font>
    <x:font>
      <x:sz val="9"/>
      <x:color rgb="FF1F1F1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44546A"/>
      </x:patternFill>
    </x:fill>
  </x:fills>
  <x:borders count="13">
    <x:border/>
    <x:border>
      <x:bottom style="thin">
        <x:color rgb="FF7F8C8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7F8C8D"/>
      </x:top>
    </x:border>
    <x:border>
      <x:left style="thin">
        <x:color rgb="FFD9E2F3"/>
      </x:left>
      <x:right style="thin">
        <x:color rgb="FFD9E2F3"/>
      </x:right>
      <x:top style="thin">
        <x:color rgb="FF7F8C8D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0" fontId="5" fillId="3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horizontal="center" vertical="top"/>
    </x:xf>
    <x:xf numFmtId="201" fontId="9" fillId="0" borderId="0" xfId="0" applyNumberFormat="1" applyFont="1" applyFill="1" applyBorder="1" applyAlignment="1">
      <x:alignment vertical="top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9" fillId="0" borderId="11" xfId="0" applyNumberFormat="1" applyFont="1" applyFill="1" applyBorder="1" applyAlignment="1">
      <x:alignment horizontal="center" vertical="top"/>
    </x:xf>
    <x:xf numFmtId="0" fontId="9" fillId="0" borderId="11" xfId="0" applyNumberFormat="1" applyFont="1" applyFill="1" applyBorder="1" applyAlignment="1">
      <x:alignment vertical="top"/>
    </x:xf>
    <x:xf numFmtId="201" fontId="9" fillId="0" borderId="11" xfId="0" applyNumberFormat="1" applyFont="1" applyFill="1" applyBorder="1" applyAlignment="1">
      <x:alignment vertical="top"/>
    </x:xf>
    <x:xf numFmtId="0" fontId="9" fillId="0" borderId="12" xfId="0" applyNumberFormat="1" applyFont="1" applyFill="1" applyBorder="1" applyAlignment="1">
      <x:alignment horizontal="center" vertical="top"/>
    </x:xf>
    <x:xf numFmtId="0" fontId="9" fillId="0" borderId="12" xfId="0" applyNumberFormat="1" applyFont="1" applyFill="1" applyBorder="1" applyAlignment="1">
      <x:alignment vertical="top"/>
    </x:xf>
    <x:xf numFmtId="201" fontId="9" fillId="0" borderId="1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horizontal="center" vertical="top" wrapText="1"/>
    </x:xf>
    <x:xf numFmtId="0" fontId="9" fillId="0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DEDED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ee6ee17f74491" /><Relationship Type="http://schemas.openxmlformats.org/officeDocument/2006/relationships/theme" Target="/xl/theme/theme1.xml" Id="Rb98fbc9fa8ba4ce7" /><Relationship Type="http://schemas.openxmlformats.org/officeDocument/2006/relationships/sharedStrings" Target="/xl/sharedStrings.xml" Id="R34aeb1fa93a44b80" /><Relationship Type="http://schemas.openxmlformats.org/officeDocument/2006/relationships/worksheet" Target="/xl/worksheets/sheet1.xml" Id="R0cd38d7d91994624" /><Relationship Type="http://schemas.openxmlformats.org/officeDocument/2006/relationships/worksheet" Target="/xl/worksheets/sheet2.xml" Id="R4ecce1096080446e" /><Relationship Type="http://schemas.openxmlformats.org/officeDocument/2006/relationships/worksheet" Target="/xl/worksheets/sheet3.xml" Id="R91618217fed547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429bfe40fb41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验收状态分布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'验收概览'!$A$7:$A$10</c:f>
              <c:strCache>
                <c:ptCount val="0"/>
              </c:strCache>
            </c:strRef>
          </c:cat>
          <c:val>
            <c:numRef>
              <c:f>'验收概览'!$B$7:$B$10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429bfe40fb41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a6e5fff730463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2" t="str">
        <x:v>项目1验收指标与性能证据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3" t="str">
        <x:v>截至 2026-09-16。空缺指标保留为 BLOCKED 或 NOT_VERIFIED，不使用模拟值替代。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</x:row>
    <x:row r="6">
      <x:c r="A6" s="8" t="str">
        <x:v>状态</x:v>
      </x:c>
      <x:c r="B6" s="8" t="str">
        <x:v>数量</x:v>
      </x:c>
      <x:c r="C6" s="56"/>
      <x:c r="D6" s="56"/>
      <x:c r="E6" s="56"/>
      <x:c r="F6" s="56"/>
      <x:c r="G6" s="56"/>
      <x:c r="H6" s="56"/>
      <x:c r="I6" s="56"/>
      <x:c r="J6" s="56"/>
    </x:row>
    <x:row r="7">
      <x:c r="A7" s="16" t="str">
        <x:v>PASS</x:v>
      </x:c>
      <x:c r="B7" s="22" t="n">
        <x:f>COUNTIF('指标明细'!$H$5:$H$19,A7)</x:f>
        <x:v>4</x:v>
      </x:c>
      <x:c r="C7" s="56"/>
      <x:c r="D7" s="56"/>
      <x:c r="E7" s="56"/>
      <x:c r="F7" s="56"/>
      <x:c r="G7" s="56"/>
      <x:c r="H7" s="56"/>
      <x:c r="I7" s="56"/>
      <x:c r="J7" s="56"/>
    </x:row>
    <x:row r="8">
      <x:c r="A8" s="18" t="str">
        <x:v>FAIL</x:v>
      </x:c>
      <x:c r="B8" s="23" t="n">
        <x:f>COUNTIF('指标明细'!$H$5:$H$19,A8)</x:f>
        <x:v>2</x:v>
      </x:c>
      <x:c r="C8" s="56"/>
      <x:c r="D8" s="56"/>
      <x:c r="E8" s="56"/>
      <x:c r="F8" s="56"/>
      <x:c r="G8" s="56"/>
      <x:c r="H8" s="56"/>
      <x:c r="I8" s="56"/>
      <x:c r="J8" s="56"/>
    </x:row>
    <x:row r="9">
      <x:c r="A9" s="18" t="str">
        <x:v>BLOCKED</x:v>
      </x:c>
      <x:c r="B9" s="23" t="n">
        <x:f>COUNTIF('指标明细'!$H$5:$H$19,A9)</x:f>
        <x:v>3</x:v>
      </x:c>
      <x:c r="C9" s="56"/>
      <x:c r="D9" s="56"/>
      <x:c r="E9" s="56"/>
      <x:c r="F9" s="56"/>
      <x:c r="G9" s="56"/>
      <x:c r="H9" s="56"/>
      <x:c r="I9" s="56"/>
      <x:c r="J9" s="56"/>
    </x:row>
    <x:row r="10">
      <x:c r="A10" s="18" t="str">
        <x:v>NOT_VERIFIED</x:v>
      </x:c>
      <x:c r="B10" s="23" t="n">
        <x:f>COUNTIF('指标明细'!$H$5:$H$19,A10)</x:f>
        <x:v>5</x:v>
      </x:c>
      <x:c r="C10" s="56"/>
      <x:c r="D10" s="56"/>
      <x:c r="E10" s="56"/>
      <x:c r="F10" s="56"/>
      <x:c r="G10" s="56"/>
      <x:c r="H10" s="56"/>
      <x:c r="I10" s="56"/>
      <x:c r="J10" s="56"/>
    </x:row>
    <x:row r="11">
      <x:c r="A11" s="29" t="str">
        <x:v>合计</x:v>
      </x:c>
      <x:c r="B11" s="30" t="n">
        <x:f>SUM(B7:B10)</x:f>
        <x:v>14</x:v>
      </x:c>
      <x:c r="C11" s="56"/>
      <x:c r="D11" s="56"/>
      <x:c r="E11" s="56"/>
      <x:c r="F11" s="56"/>
      <x:c r="G11" s="56"/>
      <x:c r="H11" s="56"/>
      <x:c r="I11" s="56"/>
      <x:c r="J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</x:row>
    <x:row r="13">
      <x:c r="A13" s="32" t="str">
        <x:v>结论</x:v>
      </x:c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4" t="str">
        <x:v>软件工程能力已形成可重复测试与静态编排证据，预测研究候选达到 R² 门槛。当前不能判定项目整体验收通过，主要缺口是人工标注真值、真实全链路性能、Python 3.10 复验和 Compose 运行健康证据；覆盖率与宽口径 Ruff 扫描已有明确未达标结果。</x:v>
      </x:c>
      <x:c r="B14" s="34"/>
      <x:c r="C14" s="34"/>
      <x:c r="D14" s="34"/>
      <x:c r="E14" s="34"/>
      <x:c r="F14" s="34"/>
      <x:c r="G14" s="34"/>
      <x:c r="H14" s="34"/>
      <x:c r="I14" s="34"/>
      <x:c r="J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</x:row>
  </x:sheetData>
  <x:mergeCells>
    <x:mergeCell ref="A2:J2"/>
    <x:mergeCell ref="A3:J3"/>
    <x:mergeCell ref="A13:J13"/>
    <x:mergeCell ref="A14:J16"/>
  </x:mergeCells>
  <x:pageMargins left="0.7" right="0.7" top="0.75" bottom="0.75" header="0.3" footer="0.3"/>
  <x:drawing xmlns:r="http://schemas.openxmlformats.org/officeDocument/2006/relationships" r:id="Rf2a6e5fff730463e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8" hidden="0" customWidth="1"/>
    <x:col min="4" max="4" width="13" hidden="0" customWidth="1"/>
    <x:col min="5" max="5" width="12" hidden="0" customWidth="1"/>
    <x:col min="6" max="6" width="34" hidden="0" customWidth="1"/>
    <x:col min="7" max="7" width="14" hidden="0" customWidth="1"/>
    <x:col min="8" max="8" width="17" hidden="0" customWidth="1"/>
    <x:col min="9" max="9" width="38" hidden="0" customWidth="1"/>
    <x:col min="10" max="10" width="42" hidden="0" customWidth="1"/>
  </x:cols>
  <x:sheetData>
    <x:row r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35" t="str">
        <x:v>项目1指标明细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3">
      <x:c r="A3" s="3" t="str">
        <x:v>状态仅依据当前工作区可追溯证据；目标硬件与人工真值缺失时不推断通过。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56"/>
      <x:c r="B4" s="56"/>
      <x:c r="C4" s="56"/>
      <x:c r="D4" s="56"/>
      <x:c r="E4" s="56"/>
      <x:c r="F4" s="56"/>
      <x:c r="G4" s="56"/>
      <x:c r="H4" s="56"/>
      <x:c r="I4" s="56"/>
      <x:c r="J4" s="56"/>
    </x:row>
    <x:row r="5" ht="34" customHeight="1">
      <x:c r="A5" s="44" t="str">
        <x:v>编号</x:v>
      </x:c>
      <x:c r="B5" s="44" t="str">
        <x:v>验收项</x:v>
      </x:c>
      <x:c r="C5" s="44" t="str">
        <x:v>门槛</x:v>
      </x:c>
      <x:c r="D5" s="44" t="str">
        <x:v>实测值</x:v>
      </x:c>
      <x:c r="E5" s="44" t="str">
        <x:v>单位</x:v>
      </x:c>
      <x:c r="F5" s="44" t="str">
        <x:v>证据范围</x:v>
      </x:c>
      <x:c r="G5" s="44" t="str">
        <x:v>证据日期</x:v>
      </x:c>
      <x:c r="H5" s="44" t="str">
        <x:v>状态</x:v>
      </x:c>
      <x:c r="I5" s="44" t="str">
        <x:v>差距/说明</x:v>
      </x:c>
      <x:c r="J5" s="44" t="str">
        <x:v>证据位置</x:v>
      </x:c>
    </x:row>
    <x:row r="6" ht="44" customHeight="1">
      <x:c r="A6" s="45" t="str">
        <x:v>M-01</x:v>
      </x:c>
      <x:c r="B6" s="58" t="str">
        <x:v>车辆检测 mAP</x:v>
      </x:c>
      <x:c r="C6" s="58" t="str">
        <x:v>&gt;0.8</x:v>
      </x:c>
      <x:c r="D6" s="47"/>
      <x:c r="E6" s="46" t="str">
        <x:v>mAP</x:v>
      </x:c>
      <x:c r="F6" s="58" t="str">
        <x:v>独立人工标注验证集</x:v>
      </x:c>
      <x:c r="G6" s="60" t="str">
        <x:v>2026-09-16</x:v>
      </x:c>
      <x:c r="H6" s="60" t="str">
        <x:v>BLOCKED</x:v>
      </x:c>
      <x:c r="I6" s="58" t="str">
        <x:v>缺车辆框/类别真值及评估报告</x:v>
      </x:c>
      <x:c r="J6" s="58" t="str">
        <x:v>待提供真值集</x:v>
      </x:c>
    </x:row>
    <x:row r="7" ht="44" customHeight="1">
      <x:c r="A7" s="45" t="str">
        <x:v>M-02</x:v>
      </x:c>
      <x:c r="B7" s="58" t="str">
        <x:v>整牌识别准确率</x:v>
      </x:c>
      <x:c r="C7" s="58" t="str">
        <x:v>&gt;=95</x:v>
      </x:c>
      <x:c r="D7" s="47"/>
      <x:c r="E7" s="46" t="str">
        <x:v>%</x:v>
      </x:c>
      <x:c r="F7" s="58" t="str">
        <x:v>逐样本完整车牌严格匹配</x:v>
      </x:c>
      <x:c r="G7" s="60" t="str">
        <x:v>2026-09-16</x:v>
      </x:c>
      <x:c r="H7" s="60" t="str">
        <x:v>BLOCKED</x:v>
      </x:c>
      <x:c r="I7" s="58" t="str">
        <x:v>缺完整车牌文本真值与逐样本结果</x:v>
      </x:c>
      <x:c r="J7" s="58" t="str">
        <x:v>待提供真值集</x:v>
      </x:c>
    </x:row>
    <x:row r="8" ht="44" customHeight="1">
      <x:c r="A8" s="45" t="str">
        <x:v>M-03</x:v>
      </x:c>
      <x:c r="B8" s="58" t="str">
        <x:v>交通流预测 R²</x:v>
      </x:c>
      <x:c r="C8" s="58" t="str">
        <x:v>&gt;0.85</x:v>
      </x:c>
      <x:c r="D8" s="47" t="n">
        <x:v>0.8644117562</x:v>
      </x:c>
      <x:c r="E8" s="46" t="str">
        <x:v>R²</x:v>
      </x:c>
      <x:c r="F8" s="58" t="str">
        <x:v>中国收费站研究候选独立测试集</x:v>
      </x:c>
      <x:c r="G8" s="60" t="str">
        <x:v>2026-09-16</x:v>
      </x:c>
      <x:c r="H8" s="60" t="str">
        <x:v>PASS</x:v>
      </x:c>
      <x:c r="I8" s="58" t="str">
        <x:v>达到课程门槛；不代表现场生产精度</x:v>
      </x:c>
      <x:c r="J8" s="58" t="str">
        <x:v>backend/prediction/models/.../metrics_summary.json</x:v>
      </x:c>
    </x:row>
    <x:row r="9" ht="44" customHeight="1">
      <x:c r="A9" s="45" t="str">
        <x:v>P-01</x:v>
      </x:c>
      <x:c r="B9" s="58" t="str">
        <x:v>摄像头到大屏全链路延迟</x:v>
      </x:c>
      <x:c r="C9" s="58" t="str">
        <x:v>&lt;200</x:v>
      </x:c>
      <x:c r="D9" s="47"/>
      <x:c r="E9" s="46" t="str">
        <x:v>ms</x:v>
      </x:c>
      <x:c r="F9" s="58" t="str">
        <x:v>解码、检测、OCR、消息、DB、API、渲染</x:v>
      </x:c>
      <x:c r="G9" s="60" t="str">
        <x:v>2026-09-16</x:v>
      </x:c>
      <x:c r="H9" s="60" t="str">
        <x:v>BLOCKED</x:v>
      </x:c>
      <x:c r="I9" s="58" t="str">
        <x:v>没有统一真实链路时序证据</x:v>
      </x:c>
      <x:c r="J9" s="58" t="str">
        <x:v>待真实联调</x:v>
      </x:c>
    </x:row>
    <x:row r="10" ht="44" customHeight="1">
      <x:c r="A10" s="45" t="str">
        <x:v>P-02</x:v>
      </x:c>
      <x:c r="B10" s="58" t="str">
        <x:v>车辆 ONNX 模型内核 p95</x:v>
      </x:c>
      <x:c r="C10" s="58" t="str">
        <x:v>检测模块 &lt;20</x:v>
      </x:c>
      <x:c r="D10" s="47" t="n">
        <x:v>21.351</x:v>
      </x:c>
      <x:c r="E10" s="46" t="str">
        <x:v>ms</x:v>
      </x:c>
      <x:c r="F10" s="58" t="str">
        <x:v>CPU InferenceSession.run，不含前后处理</x:v>
      </x:c>
      <x:c r="G10" s="60" t="str">
        <x:v>2026-09-16</x:v>
      </x:c>
      <x:c r="H10" s="60" t="str">
        <x:v>NOT_VERIFIED</x:v>
      </x:c>
      <x:c r="I10" s="58" t="str">
        <x:v>口径不足以代表检测模块，且内核值高于20ms</x:v>
      </x:c>
      <x:c r="J10" s="58" t="str">
        <x:v>现有 edge benchmark 报告</x:v>
      </x:c>
    </x:row>
    <x:row r="11" ht="44" customHeight="1">
      <x:c r="A11" s="45" t="str">
        <x:v>P-03</x:v>
      </x:c>
      <x:c r="B11" s="58" t="str">
        <x:v>车牌检测 ONNX 模型内核 p95</x:v>
      </x:c>
      <x:c r="C11" s="58" t="str">
        <x:v>检测模块 &lt;20</x:v>
      </x:c>
      <x:c r="D11" s="47" t="n">
        <x:v>16.808</x:v>
      </x:c>
      <x:c r="E11" s="46" t="str">
        <x:v>ms</x:v>
      </x:c>
      <x:c r="F11" s="58" t="str">
        <x:v>CPU InferenceSession.run，不含OCR</x:v>
      </x:c>
      <x:c r="G11" s="60" t="str">
        <x:v>2026-09-16</x:v>
      </x:c>
      <x:c r="H11" s="60" t="str">
        <x:v>NOT_VERIFIED</x:v>
      </x:c>
      <x:c r="I11" s="58" t="str">
        <x:v>仅证明模型内核，不覆盖车牌识别链</x:v>
      </x:c>
      <x:c r="J11" s="58" t="str">
        <x:v>现有 edge benchmark 报告</x:v>
      </x:c>
    </x:row>
    <x:row r="12" ht="44" customHeight="1">
      <x:c r="A12" s="45" t="str">
        <x:v>P-04</x:v>
      </x:c>
      <x:c r="B12" s="58" t="str">
        <x:v>数据库读/写 P99</x:v>
      </x:c>
      <x:c r="C12" s="58" t="str">
        <x:v>读&lt;20，写&lt;100</x:v>
      </x:c>
      <x:c r="D12" s="47"/>
      <x:c r="E12" s="46" t="str">
        <x:v>ms</x:v>
      </x:c>
      <x:c r="F12" s="58" t="str">
        <x:v>TimescaleDB 统一负载基准</x:v>
      </x:c>
      <x:c r="G12" s="60" t="str">
        <x:v>2026-09-16</x:v>
      </x:c>
      <x:c r="H12" s="60" t="str">
        <x:v>NOT_VERIFIED</x:v>
      </x:c>
      <x:c r="I12" s="58" t="str">
        <x:v>缺并发、样本规模及P99报告</x:v>
      </x:c>
      <x:c r="J12" s="58" t="str">
        <x:v>待性能测试</x:v>
      </x:c>
    </x:row>
    <x:row r="13" ht="44" customHeight="1">
      <x:c r="A13" s="45" t="str">
        <x:v>P-05</x:v>
      </x:c>
      <x:c r="B13" s="58" t="str">
        <x:v>预测 API 延迟</x:v>
      </x:c>
      <x:c r="C13" s="58" t="str">
        <x:v>&lt;50</x:v>
      </x:c>
      <x:c r="D13" s="47"/>
      <x:c r="E13" s="46" t="str">
        <x:v>ms</x:v>
      </x:c>
      <x:c r="F13" s="58" t="str">
        <x:v>预热后真实 HTTP 分位数</x:v>
      </x:c>
      <x:c r="G13" s="60" t="str">
        <x:v>2026-09-16</x:v>
      </x:c>
      <x:c r="H13" s="60" t="str">
        <x:v>NOT_VERIFIED</x:v>
      </x:c>
      <x:c r="I13" s="58" t="str">
        <x:v>缺统一环境下的分位数基准</x:v>
      </x:c>
      <x:c r="J13" s="58" t="str">
        <x:v>待性能测试</x:v>
      </x:c>
    </x:row>
    <x:row r="14" ht="44" customHeight="1">
      <x:c r="A14" s="45" t="str">
        <x:v>P-06</x:v>
      </x:c>
      <x:c r="B14" s="58" t="str">
        <x:v>大屏首屏渲染</x:v>
      </x:c>
      <x:c r="C14" s="58" t="str">
        <x:v>&lt;1000</x:v>
      </x:c>
      <x:c r="D14" s="47"/>
      <x:c r="E14" s="46" t="str">
        <x:v>ms</x:v>
      </x:c>
      <x:c r="F14" s="58" t="str">
        <x:v>浏览器冷启动与资源加载</x:v>
      </x:c>
      <x:c r="G14" s="60" t="str">
        <x:v>2026-09-16</x:v>
      </x:c>
      <x:c r="H14" s="60" t="str">
        <x:v>NOT_VERIFIED</x:v>
      </x:c>
      <x:c r="I14" s="58" t="str">
        <x:v>缺浏览器性能录制</x:v>
      </x:c>
      <x:c r="J14" s="58" t="str">
        <x:v>待性能测试</x:v>
      </x:c>
    </x:row>
    <x:row r="15" ht="44" customHeight="1">
      <x:c r="A15" s="45" t="str">
        <x:v>Q-01</x:v>
      </x:c>
      <x:c r="B15" s="58" t="str">
        <x:v>业务代码覆盖率</x:v>
      </x:c>
      <x:c r="C15" s="58" t="str">
        <x:v>&gt;=80</x:v>
      </x:c>
      <x:c r="D15" s="47" t="n">
        <x:v>64.535</x:v>
      </x:c>
      <x:c r="E15" s="46" t="str">
        <x:v>%</x:v>
      </x:c>
      <x:c r="F15" s="58" t="str">
        <x:v>core、backend、db、edge 分支覆盖率</x:v>
      </x:c>
      <x:c r="G15" s="60" t="str">
        <x:v>2026-09-16</x:v>
      </x:c>
      <x:c r="H15" s="60" t="str">
        <x:v>FAIL</x:v>
      </x:c>
      <x:c r="I15" s="58" t="str">
        <x:v>低于门槛15.465个百分点</x:v>
      </x:c>
      <x:c r="J15" s="58" t="str">
        <x:v>docs/acceptance/project1_gate_20260916.json</x:v>
      </x:c>
    </x:row>
    <x:row r="16" ht="44" customHeight="1">
      <x:c r="A16" s="45" t="str">
        <x:v>Q-02</x:v>
      </x:c>
      <x:c r="B16" s="58" t="str">
        <x:v>宽口径 Ruff</x:v>
      </x:c>
      <x:c r="C16" s="58" t="str">
        <x:v>0问题</x:v>
      </x:c>
      <x:c r="D16" s="47" t="n">
        <x:v>41</x:v>
      </x:c>
      <x:c r="E16" s="46" t="str">
        <x:v>项</x:v>
      </x:c>
      <x:c r="F16" s="58" t="str">
        <x:v>全仓 pyproject 配置扫描</x:v>
      </x:c>
      <x:c r="G16" s="60" t="str">
        <x:v>2026-09-16</x:v>
      </x:c>
      <x:c r="H16" s="60" t="str">
        <x:v>FAIL</x:v>
      </x:c>
      <x:c r="I16" s="58" t="str">
        <x:v>37项可安全修复；批量修改尚未授权</x:v>
      </x:c>
      <x:c r="J16" s="58" t="str">
        <x:v>docs/acceptance/project1_gate_20260916.json</x:v>
      </x:c>
    </x:row>
    <x:row r="17" ht="44" customHeight="1">
      <x:c r="A17" s="45" t="str">
        <x:v>Q-03</x:v>
      </x:c>
      <x:c r="B17" s="58" t="str">
        <x:v>显式 TODO/FIXME</x:v>
      </x:c>
      <x:c r="C17" s="58" t="str">
        <x:v>&lt;5</x:v>
      </x:c>
      <x:c r="D17" s="47" t="n">
        <x:v>0</x:v>
      </x:c>
      <x:c r="E17" s="46" t="str">
        <x:v>处</x:v>
      </x:c>
      <x:c r="F17" s="58" t="str">
        <x:v>backend、core、db、edge</x:v>
      </x:c>
      <x:c r="G17" s="60" t="str">
        <x:v>2026-09-16</x:v>
      </x:c>
      <x:c r="H17" s="60" t="str">
        <x:v>PASS</x:v>
      </x:c>
      <x:c r="I17" s="58" t="str">
        <x:v>达到门槛</x:v>
      </x:c>
      <x:c r="J17" s="58" t="str">
        <x:v>docs/acceptance/project1_gate_20260916.json</x:v>
      </x:c>
    </x:row>
    <x:row r="18" ht="44" customHeight="1">
      <x:c r="A18" s="45" t="str">
        <x:v>D-01</x:v>
      </x:c>
      <x:c r="B18" s="58" t="str">
        <x:v>Compose 静态解析</x:v>
      </x:c>
      <x:c r="C18" s="58" t="str">
        <x:v>退出码0</x:v>
      </x:c>
      <x:c r="D18" s="47" t="n">
        <x:v>0</x:v>
      </x:c>
      <x:c r="E18" s="46" t="str">
        <x:v>退出码</x:v>
      </x:c>
      <x:c r="F18" s="58" t="str">
        <x:v>默认与 acceptance profile</x:v>
      </x:c>
      <x:c r="G18" s="60" t="str">
        <x:v>2026-09-16</x:v>
      </x:c>
      <x:c r="H18" s="60" t="str">
        <x:v>PASS</x:v>
      </x:c>
      <x:c r="I18" s="58" t="str">
        <x:v>配置可解析；不证明实际健康</x:v>
      </x:c>
      <x:c r="J18" s="58" t="str">
        <x:v>docker compose config --quiet</x:v>
      </x:c>
    </x:row>
    <x:row r="19" ht="44" customHeight="1">
      <x:c r="A19" s="48" t="str">
        <x:v>S-01</x:v>
      </x:c>
      <x:c r="B19" s="59" t="str">
        <x:v>依赖漏洞审计</x:v>
      </x:c>
      <x:c r="C19" s="59" t="str">
        <x:v>无已知漏洞</x:v>
      </x:c>
      <x:c r="D19" s="50" t="n">
        <x:v>0</x:v>
      </x:c>
      <x:c r="E19" s="49" t="str">
        <x:v>已知漏洞</x:v>
      </x:c>
      <x:c r="F19" s="59" t="str">
        <x:v>requirements.txt 与 backend/requirements.txt</x:v>
      </x:c>
      <x:c r="G19" s="61" t="str">
        <x:v>2026-09-16</x:v>
      </x:c>
      <x:c r="H19" s="61" t="str">
        <x:v>PASS</x:v>
      </x:c>
      <x:c r="I19" s="59" t="str">
        <x:v>pip-audit 未发现已知漏洞</x:v>
      </x:c>
      <x:c r="J19" s="59" t="str">
        <x:v>pip-audit 2.10.1</x:v>
      </x:c>
    </x:row>
  </x:sheetData>
  <x:mergeCells>
    <x:mergeCell ref="A2:J2"/>
    <x:mergeCell ref="A3:J3"/>
  </x:mergeCells>
  <x:conditionalFormatting sqref="H6:H19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NOT_VERIFIED"/>
    <x:cfRule type="containsText" dxfId="3" priority="4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38" hidden="0" customWidth="1"/>
    <x:col min="5" max="5" width="38" hidden="0" customWidth="1"/>
    <x:col min="6" max="6" width="34" hidden="0" customWidth="1"/>
  </x:cols>
  <x:sheetData>
    <x:row r="1">
      <x:c r="A1" s="56"/>
      <x:c r="B1" s="56"/>
      <x:c r="C1" s="56"/>
      <x:c r="D1" s="56"/>
      <x:c r="E1" s="56"/>
      <x:c r="F1" s="56"/>
    </x:row>
    <x:row r="2">
      <x:c r="A2" s="35" t="str">
        <x:v>环境、来源与事实边界</x:v>
      </x:c>
      <x:c r="B2" s="35"/>
      <x:c r="C2" s="35"/>
      <x:c r="D2" s="35"/>
      <x:c r="E2" s="35"/>
      <x:c r="F2" s="35"/>
    </x:row>
    <x:row r="3">
      <x:c r="A3" s="56"/>
      <x:c r="B3" s="56"/>
      <x:c r="C3" s="56"/>
      <x:c r="D3" s="56"/>
      <x:c r="E3" s="56"/>
      <x:c r="F3" s="56"/>
    </x:row>
    <x:row r="4" ht="30" customHeight="1">
      <x:c r="A4" s="55" t="str">
        <x:v>类别</x:v>
      </x:c>
      <x:c r="B4" s="55" t="str">
        <x:v>项目</x:v>
      </x:c>
      <x:c r="C4" s="55" t="str">
        <x:v>当前事实</x:v>
      </x:c>
      <x:c r="D4" s="55" t="str">
        <x:v>验收影响</x:v>
      </x:c>
      <x:c r="E4" s="55" t="str">
        <x:v>下一步输入</x:v>
      </x:c>
      <x:c r="F4" s="55" t="str">
        <x:v>来源</x:v>
      </x:c>
    </x:row>
    <x:row r="5" ht="48" customHeight="1">
      <x:c r="A5" s="46" t="str">
        <x:v>环境</x:v>
      </x:c>
      <x:c r="B5" s="46" t="str">
        <x:v>Python</x:v>
      </x:c>
      <x:c r="C5" s="58" t="str">
        <x:v>3.13.2</x:v>
      </x:c>
      <x:c r="D5" s="58" t="str">
        <x:v>材料要求3.10.x，状态NOT_VERIFIED</x:v>
      </x:c>
      <x:c r="E5" s="58" t="str">
        <x:v>在Python 3.10复跑门禁</x:v>
      </x:c>
      <x:c r="F5" s="58" t="str">
        <x:v>本机运行</x:v>
      </x:c>
    </x:row>
    <x:row r="6" ht="48" customHeight="1">
      <x:c r="A6" s="46" t="str">
        <x:v>环境</x:v>
      </x:c>
      <x:c r="B6" s="46" t="str">
        <x:v>容器</x:v>
      </x:c>
      <x:c r="C6" s="58" t="str">
        <x:v>Docker daemon可用，Compose静态解析通过</x:v>
      </x:c>
      <x:c r="D6" s="58" t="str">
        <x:v>尚未证明所有服务健康</x:v>
      </x:c>
      <x:c r="E6" s="58" t="str">
        <x:v>运行acceptance profile并保留日志</x:v>
      </x:c>
      <x:c r="F6" s="58" t="str">
        <x:v>本机运行</x:v>
      </x:c>
    </x:row>
    <x:row r="7" ht="48" customHeight="1">
      <x:c r="A7" s="46" t="str">
        <x:v>模型</x:v>
      </x:c>
      <x:c r="B7" s="46" t="str">
        <x:v>预测模型</x:v>
      </x:c>
      <x:c r="C7" s="58" t="str">
        <x:v>research_candidate；R²=0.8644117562</x:v>
      </x:c>
      <x:c r="D7" s="58" t="str">
        <x:v>只覆盖公开匿名数据</x:v>
      </x:c>
      <x:c r="E7" s="58" t="str">
        <x:v>使用现场跨日期数据复验</x:v>
      </x:c>
      <x:c r="F7" s="58" t="str">
        <x:v>模型metadata</x:v>
      </x:c>
    </x:row>
    <x:row r="8" ht="48" customHeight="1">
      <x:c r="A8" s="46" t="str">
        <x:v>模型</x:v>
      </x:c>
      <x:c r="B8" s="46" t="str">
        <x:v>车辆/车牌</x:v>
      </x:c>
      <x:c r="C8" s="58" t="str">
        <x:v>PT与ONNX制品存在并有模型级证据</x:v>
      </x:c>
      <x:c r="D8" s="58" t="str">
        <x:v>没有人工真值，不能推导精度</x:v>
      </x:c>
      <x:c r="E8" s="58" t="str">
        <x:v>车辆框、车牌框、完整文本真值</x:v>
      </x:c>
      <x:c r="F8" s="58" t="str">
        <x:v>仓库与edge报告</x:v>
      </x:c>
    </x:row>
    <x:row r="9" ht="48" customHeight="1">
      <x:c r="A9" s="46" t="str">
        <x:v>链路</x:v>
      </x:c>
      <x:c r="B9" s="46" t="str">
        <x:v>模拟验收</x:v>
      </x:c>
      <x:c r="C9" s="58" t="str">
        <x:v>合成三类事件可验证服务契约</x:v>
      </x:c>
      <x:c r="D9" s="58" t="str">
        <x:v>不包含YOLO、OCR或真实摄像头</x:v>
      </x:c>
      <x:c r="E9" s="58" t="str">
        <x:v>运行acceptance-simulator</x:v>
      </x:c>
      <x:c r="F9" s="58" t="str">
        <x:v>acceptance/simulate_pipeline_events.py</x:v>
      </x:c>
    </x:row>
    <x:row r="10" ht="48" customHeight="1">
      <x:c r="A10" s="46" t="str">
        <x:v>链路</x:v>
      </x:c>
      <x:c r="B10" s="46" t="str">
        <x:v>真实感知</x:v>
      </x:c>
      <x:c r="C10" s="58" t="str">
        <x:v>main.py在宿主机运行</x:v>
      </x:c>
      <x:c r="D10" s="58" t="str">
        <x:v>主Compose不含感知worker</x:v>
      </x:c>
      <x:c r="E10" s="58" t="str">
        <x:v>真实视频联调并保留关联事件</x:v>
      </x:c>
      <x:c r="F10" s="58" t="str">
        <x:v>docker-compose.yml</x:v>
      </x:c>
    </x:row>
    <x:row r="11" ht="48" customHeight="1">
      <x:c r="A11" s="46" t="str">
        <x:v>硬件</x:v>
      </x:c>
      <x:c r="B11" s="46" t="str">
        <x:v>RTX/TensorRT</x:v>
      </x:c>
      <x:c r="C11" s="58" t="str">
        <x:v>无目标硬件运行证据</x:v>
      </x:c>
      <x:c r="D11" s="58" t="str">
        <x:v>不可填报GPU性能</x:v>
      </x:c>
      <x:c r="E11" s="58" t="str">
        <x:v>提供目标GPU与运行时</x:v>
      </x:c>
      <x:c r="F11" s="58" t="str">
        <x:v>缺失</x:v>
      </x:c>
    </x:row>
    <x:row r="12" ht="48" customHeight="1">
      <x:c r="A12" s="46" t="str">
        <x:v>硬件</x:v>
      </x:c>
      <x:c r="B12" s="46" t="str">
        <x:v>Jetson/Atlas/INT8</x:v>
      </x:c>
      <x:c r="C12" s="58" t="str">
        <x:v>仅有部分入口或目标态</x:v>
      </x:c>
      <x:c r="D12" s="58" t="str">
        <x:v>不可声称实机、温度、功耗或量化通过</x:v>
      </x:c>
      <x:c r="E12" s="58" t="str">
        <x:v>设备、校准集与长稳测试</x:v>
      </x:c>
      <x:c r="F12" s="58" t="str">
        <x:v>VIBECODING.md</x:v>
      </x:c>
    </x:row>
    <x:row r="13" ht="48" customHeight="1">
      <x:c r="A13" s="46" t="str">
        <x:v>安全</x:v>
      </x:c>
      <x:c r="B13" s="46" t="str">
        <x:v>API</x:v>
      </x:c>
      <x:c r="C13" s="58" t="str">
        <x:v>显式CORS、生产密钥要求、500隐藏详情</x:v>
      </x:c>
      <x:c r="D13" s="58" t="str">
        <x:v>软件安全边界已补齐</x:v>
      </x:c>
      <x:c r="E13" s="58" t="str">
        <x:v>生产部署配置真实origin与密钥</x:v>
      </x:c>
      <x:c r="F13" s="58" t="str">
        <x:v>backend/dashboard_api.py</x:v>
      </x:c>
    </x:row>
    <x:row r="14" ht="48" customHeight="1">
      <x:c r="A14" s="49" t="str">
        <x:v>安全</x:v>
      </x:c>
      <x:c r="B14" s="49" t="str">
        <x:v>依赖</x:v>
      </x:c>
      <x:c r="C14" s="59" t="str">
        <x:v>pip-audit无已知漏洞</x:v>
      </x:c>
      <x:c r="D14" s="59" t="str">
        <x:v>只覆盖已声明依赖和当前漏洞库</x:v>
      </x:c>
      <x:c r="E14" s="59" t="str">
        <x:v>锁定依赖并纳入CI</x:v>
      </x:c>
      <x:c r="F14" s="59" t="str">
        <x:v>2026-09-16扫描</x:v>
      </x:c>
    </x:row>
  </x:sheetData>
  <x:mergeCells>
    <x:mergeCell ref="A2:F2"/>
  </x:mergeCells>
  <x:pageMargins left="0.7" right="0.7" top="0.75" bottom="0.75" header="0.3" footer="0.3"/>
</x:worksheet>
</file>